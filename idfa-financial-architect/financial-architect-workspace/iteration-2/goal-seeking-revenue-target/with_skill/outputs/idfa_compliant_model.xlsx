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revenue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COGS percentage from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OpEx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2" authorId="0">
      <text>
        <r>
          <rPr>
            <sz val="10"/>
            <rFont val="Arial"/>
            <family val="2"/>
          </rPr>
          <t xml:space="preserve">Year 3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Arial"/>
            <family val="2"/>
          </rPr>
          <t xml:space="preserve">Year 3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Year 3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Year 3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Year 3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Year 3 EBITDA = Gross Profit minus OpEx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<sst xmlns="http://schemas.openxmlformats.org/spreadsheetml/2006/main" count="27" uniqueCount="19">
  <si>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</si>
  <si>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</si>
  <si>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</si>
  <si>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</si>
  <si>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</si>
  <si>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</si>
  <si>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</si>
  <si>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</si>
  <si>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</si>
  <si>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</si>
  <si>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</si>
  <si>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</si>
  <si>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</si>
  <si>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</si>
  <si>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</si>
  <si>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</si>
  <si>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</si>
  <si>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EBITDA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</si>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</sst>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3" t="n">
        <v>11225896</v>
      </c>
    </row>
    <row r="3" customFormat="false" ht="15" hidden="false" customHeight="true" outlineLevel="0" collapsed="false">
      <c r="A3" s="1" t="s">
        <v>3</v>
      </c>
      <c r="B3" s="4" t="n">
        <v>0.1</v>
      </c>
    </row>
    <row r="4" customFormat="false" ht="15" hidden="false" customHeight="true" outlineLevel="0" collapsed="false">
      <c r="A4" s="1" t="s">
        <v>4</v>
      </c>
      <c r="B4" s="4" t="n">
        <v>0.6</v>
      </c>
    </row>
    <row r="5" customFormat="false" ht="15" hidden="false" customHeight="true" outlineLevel="0" collapsed="false">
      <c r="A5" s="1" t="s">
        <v>5</v>
      </c>
      <c r="B5" s="4" t="n">
        <v>0.01</v>
      </c>
    </row>
    <row r="6" customFormat="false" ht="15" hidden="false" customHeight="true" outlineLevel="0" collapsed="false">
      <c r="A6" s="1" t="s">
        <v>6</v>
      </c>
      <c r="B6" s="3" t="n">
        <v>2000000</v>
      </c>
    </row>
    <row r="7" customFormat="false" ht="15" hidden="false" customHeight="true" outlineLevel="0" collapsed="false">
      <c r="A7" s="1" t="s">
        <v>7</v>
      </c>
      <c r="B7" s="4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1" t="s">
        <v>12</v>
      </c>
      <c r="B2" s="3" t="n">
        <f aca="false">Inp_Rev_Y1</f>
        <v>11225896</v>
      </c>
      <c r="C2" s="3" t="n">
        <f aca="false">Revenue_Y1*(1+Inp_Rev_Growth)</f>
        <v>12348485.6</v>
      </c>
      <c r="D2" s="3" t="n">
        <f aca="false">Revenue_Y2*(1+Inp_Rev_Growth)</f>
        <v>13583334.16</v>
      </c>
    </row>
    <row r="3" customFormat="false" ht="15" hidden="false" customHeight="true" outlineLevel="0" collapsed="false">
      <c r="A3" s="1" t="s">
        <v>13</v>
      </c>
      <c r="B3" s="3" t="n">
        <f aca="false">Inp_COGS_Pct_Y1</f>
        <v>0.6</v>
      </c>
      <c r="C3" s="3" t="n">
        <f aca="false">COGS_Pct_Y1-Inp_COGS_Efficiency</f>
        <v>0.59</v>
      </c>
      <c r="D3" s="3" t="n">
        <f aca="false">COGS_Pct_Y2-Inp_COGS_Efficiency</f>
        <v>0.58</v>
      </c>
    </row>
    <row r="4" customFormat="false" ht="15" hidden="false" customHeight="true" outlineLevel="0" collapsed="false">
      <c r="A4" s="1" t="s">
        <v>14</v>
      </c>
      <c r="B4" s="3" t="n">
        <f aca="false">Revenue_Y1*COGS_Pct_Y1</f>
        <v>6735537.6</v>
      </c>
      <c r="C4" s="3" t="n">
        <f aca="false">Revenue_Y2*COGS_Pct_Y2</f>
        <v>7285606.504</v>
      </c>
      <c r="D4" s="3" t="n">
        <f aca="false">Revenue_Y3*COGS_Pct_Y3</f>
        <v>7878333.8128</v>
      </c>
    </row>
    <row r="5" customFormat="false" ht="15" hidden="false" customHeight="true" outlineLevel="0" collapsed="false">
      <c r="A5" s="1" t="s">
        <v>15</v>
      </c>
      <c r="B5" s="3" t="n">
        <f aca="false">Revenue_Y1-COGS_Y1</f>
        <v>4490358.4</v>
      </c>
      <c r="C5" s="3" t="n">
        <f aca="false">Revenue_Y2-COGS_Y2</f>
        <v>5062879.096</v>
      </c>
      <c r="D5" s="3" t="n">
        <f aca="false">Revenue_Y3-COGS_Y3</f>
        <v>5705000.3472</v>
      </c>
    </row>
    <row r="6" customFormat="false" ht="15" hidden="false" customHeight="true" outlineLevel="0" collapsed="false">
      <c r="A6" s="1" t="s">
        <v>16</v>
      </c>
      <c r="B6" s="3" t="n">
        <f aca="false">Inp_OpEx_Y1</f>
        <v>2000000</v>
      </c>
      <c r="C6" s="3" t="n">
        <f aca="false">OpEx_Y1*(1+Inp_OpEx_Growth)</f>
        <v>2100000</v>
      </c>
      <c r="D6" s="3" t="n">
        <f aca="false">OpEx_Y2*(1+Inp_OpEx_Growth)</f>
        <v>2205000</v>
      </c>
    </row>
    <row r="7" customFormat="false" ht="15" hidden="false" customHeight="true" outlineLevel="0" collapsed="false">
      <c r="A7" s="1" t="s">
        <v>17</v>
      </c>
      <c r="B7" s="3" t="n">
        <f aca="false">Gross_Profit_Y1-OpEx_Y1</f>
        <v>2490358.4</v>
      </c>
      <c r="C7" s="3" t="n">
        <f aca="false">Gross_Profit_Y2-OpEx_Y2</f>
        <v>2962879.096</v>
      </c>
      <c r="D7" s="3" t="n">
        <f aca="false">Gross_Profit_Y3-OpEx_Y3</f>
        <v>3500000.3472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5" t="s">
        <v>12</v>
      </c>
      <c r="B2" s="3" t="n">
        <f aca="false">Revenue_Y1</f>
        <v>11225896</v>
      </c>
      <c r="C2" s="3" t="n">
        <f aca="false">Revenue_Y2</f>
        <v>12348485.6</v>
      </c>
      <c r="D2" s="3" t="n">
        <f aca="false">Revenue_Y3</f>
        <v>13583334.16</v>
      </c>
    </row>
    <row r="3" customFormat="false" ht="15" hidden="false" customHeight="true" outlineLevel="0" collapsed="false">
      <c r="A3" s="5" t="s">
        <v>14</v>
      </c>
      <c r="B3" s="3" t="n">
        <f aca="false">COGS_Y1</f>
        <v>6735537.6</v>
      </c>
      <c r="C3" s="3" t="n">
        <f aca="false">COGS_Y2</f>
        <v>7285606.504</v>
      </c>
      <c r="D3" s="3" t="n">
        <f aca="false">COGS_Y3</f>
        <v>7878333.8128</v>
      </c>
    </row>
    <row r="4" customFormat="false" ht="15" hidden="false" customHeight="true" outlineLevel="0" collapsed="false">
      <c r="A4" s="5" t="s">
        <v>15</v>
      </c>
      <c r="B4" s="3" t="n">
        <f aca="false">Gross_Profit_Y1</f>
        <v>4490358.4</v>
      </c>
      <c r="C4" s="3" t="n">
        <f aca="false">Gross_Profit_Y2</f>
        <v>5062879.096</v>
      </c>
      <c r="D4" s="3" t="n">
        <f aca="false">Gross_Profit_Y3</f>
        <v>5705000.3472</v>
      </c>
    </row>
    <row r="5" customFormat="false" ht="15" hidden="false" customHeight="true" outlineLevel="0" collapsed="false">
      <c r="A5" s="5" t="s">
        <v>18</v>
      </c>
      <c r="B5" s="3" t="n">
        <f aca="false">OpEx_Y1</f>
        <v>2000000</v>
      </c>
      <c r="C5" s="3" t="n">
        <f aca="false">OpEx_Y2</f>
        <v>2100000</v>
      </c>
      <c r="D5" s="3" t="n">
        <f aca="false">OpEx_Y3</f>
        <v>2205000</v>
      </c>
    </row>
    <row r="6" customFormat="false" ht="15" hidden="false" customHeight="true" outlineLevel="0" collapsed="false">
      <c r="A6" s="5" t="s">
        <v>17</v>
      </c>
      <c r="B6" s="3" t="n">
        <f aca="false">EBITDA_Y1</f>
        <v>2490358.4</v>
      </c>
      <c r="C6" s="3" t="n">
        <f aca="false">EBITDA_Y2</f>
        <v>2962879.096</v>
      </c>
      <c r="D6" s="3" t="n">
        <f aca="false">EBITDA_Y3</f>
        <v>3500000.3472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