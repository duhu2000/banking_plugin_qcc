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>
    <definedName name="Inp_Rev_Y1">'Model'!$B$2</definedName>
    <definedName name="Inp_Rev_Growth">'Model'!$B$3</definedName>
    <definedName name="Revenue_Y1">'Model'!$C$6</definedName>
    <definedName name="Revenue_Y2">'Model'!$D$6</definedName>
    <definedName name="Revenue_Y3">'Model'!$E$6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IDFA Financial Architect</author>
  </authors>
  <commentList>
    <comment ref="C6" authorId="0" shapeId="0">
      <text>
        <t>INTENT:      Year 1 Revenue equals the Year 1 Revenue assumption input
FORMULA:     R_1 = Inp\_Rev\_Y1
ASSUMPTIONS: Inp_Rev_Y1
GENERATED:   2026-03-11 / IDFA retrofit session
MODIFIED:    2026-03-11 / initial retrofit</t>
      </text>
    </comment>
    <comment ref="D6" authorId="0" shapeId="0">
      <text>
        <t>INTENT:      Year 2 Revenue = Year 1 Revenue grown by the annual revenue growth rate
FORMULA:     R_2 = R_1 * (1 + g)
ASSUMPTIONS: Revenue_Y1, Inp_Rev_Growth
GENERATED:   2026-03-11 / IDFA retrofit session
MODIFIED:    2026-03-11 / initial retrofit</t>
      </text>
    </comment>
    <comment ref="E6" authorId="0" shapeId="0">
      <text>
        <t>INTENT:      Year 3 Revenue = Year 2 Revenue grown by the annual revenue growth rate
FORMULA:     R_3 = R_2 * (1 + g)
ASSUMPTIONS: Revenue_Y2, Inp_Rev_Growth
GENERATED:   2026-03-11 / IDFA retrofit session
MODIFIED:    2026-03-11 / initial retrofit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Assumptions</t>
        </is>
      </c>
    </row>
    <row r="2">
      <c r="A2" t="inlineStr">
        <is>
          <t>Revenue</t>
        </is>
      </c>
      <c r="B2" s="2" t="n">
        <v>10000000</v>
      </c>
    </row>
    <row r="3">
      <c r="A3" t="inlineStr">
        <is>
          <t>Revenue Growth</t>
        </is>
      </c>
      <c r="B3" s="3" t="n">
        <v>0.1</v>
      </c>
    </row>
    <row r="4">
      <c r="A4" t="inlineStr">
        <is>
          <t>COGS %</t>
        </is>
      </c>
      <c r="B4" s="3" t="n">
        <v>0.6</v>
      </c>
    </row>
    <row r="6">
      <c r="A6" t="inlineStr">
        <is>
          <t>Revenue</t>
        </is>
      </c>
      <c r="B6" t="inlineStr">
        <is>
          <t>Y1</t>
        </is>
      </c>
      <c r="C6" s="2">
        <f>Inp_Rev_Y1</f>
        <v/>
      </c>
      <c r="D6" s="2">
        <f>Revenue_Y1*(1+Inp_Rev_Growth)</f>
        <v/>
      </c>
      <c r="E6" s="2">
        <f>Revenue_Y2*(1+Inp_Rev_Growth)</f>
        <v/>
      </c>
    </row>
    <row r="7">
      <c r="A7" t="inlineStr">
        <is>
          <t>COGS</t>
        </is>
      </c>
      <c r="B7" t="inlineStr">
        <is>
          <t>Y1</t>
        </is>
      </c>
      <c r="C7" s="2">
        <f>C6*B4</f>
        <v/>
      </c>
      <c r="D7" s="2">
        <f>D6*0.59</f>
        <v/>
      </c>
      <c r="E7" s="2">
        <f>E6*0.58</f>
        <v/>
      </c>
    </row>
    <row r="8">
      <c r="A8" t="inlineStr">
        <is>
          <t>Gross Profit</t>
        </is>
      </c>
      <c r="B8" t="inlineStr">
        <is>
          <t>Y1</t>
        </is>
      </c>
      <c r="C8" s="2">
        <f>C6-C7</f>
        <v/>
      </c>
      <c r="D8" s="2">
        <f>D6-D7</f>
        <v/>
      </c>
      <c r="E8" s="2">
        <f>E6-E7</f>
        <v/>
      </c>
    </row>
    <row r="10">
      <c r="A10" t="inlineStr">
        <is>
          <t>Equity</t>
        </is>
      </c>
      <c r="B10" s="2" t="n">
        <v>5000000</v>
      </c>
    </row>
    <row r="11">
      <c r="A11" t="inlineStr">
        <is>
          <t>Debt</t>
        </is>
      </c>
      <c r="B11" s="2" t="n">
        <v>3000000</v>
      </c>
    </row>
    <row r="12">
      <c r="A12" t="inlineStr">
        <is>
          <t>Total Capital</t>
        </is>
      </c>
      <c r="B12" s="2" t="n">
        <v>8000000</v>
      </c>
    </row>
    <row r="13">
      <c r="A13" t="inlineStr">
        <is>
          <t>Cost of Equity</t>
        </is>
      </c>
      <c r="B13" s="3" t="n">
        <v>0.12</v>
      </c>
    </row>
    <row r="14">
      <c r="A14" t="inlineStr">
        <is>
          <t>Cost of Debt</t>
        </is>
      </c>
      <c r="B14" s="3" t="n">
        <v>0.06</v>
      </c>
    </row>
    <row r="15">
      <c r="A15" t="inlineStr">
        <is>
          <t>Tax Rate</t>
        </is>
      </c>
      <c r="B15" s="3" t="n">
        <v>0.25</v>
      </c>
    </row>
    <row r="16">
      <c r="A16" t="inlineStr">
        <is>
          <t>WACC</t>
        </is>
      </c>
      <c r="B16" s="3">
        <f>($B$10/$B$12)*$B$13+($B$11/$B$12)*$B$14*(1-$B$15)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2026-03-11T10:53:13Z</dcterms:created>
  <dcterms:modified xsi:type="dcterms:W3CDTF">2026-03-11T16:25:38Z</dcterms:modified>
</cp:coreProperties>
</file>