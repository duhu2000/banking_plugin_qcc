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lculations" sheetId="2" state="visible" r:id="rId2"/>
    <sheet name="Output" sheetId="3" state="visible" r:id="rId3"/>
  </sheets>
  <definedNames>
    <definedName name="Inp_Price">'Assumptions'!$B$2</definedName>
    <definedName name="Inp_Units_Y1">'Assumptions'!$B$3</definedName>
    <definedName name="Inp_Units_Growth">'Assumptions'!$B$4</definedName>
    <definedName name="Inp_Variable_Cost_Per_Unit">'Assumptions'!$B$5</definedName>
    <definedName name="Inp_Fixed_Costs">'Assumptions'!$B$6</definedName>
    <definedName name="Inp_Tax_Rate">'Assumptions'!$B$7</definedName>
    <definedName name="Units_Y1">'Calculations'!$B$2</definedName>
    <definedName name="Units_Y2">'Calculations'!$C$2</definedName>
    <definedName name="Revenue_Y1">'Calculations'!$B$3</definedName>
    <definedName name="Revenue_Y2">'Calculations'!$C$3</definedName>
    <definedName name="Variable_Costs_Y1">'Calculations'!$B$4</definedName>
    <definedName name="Variable_Costs_Y2">'Calculations'!$C$4</definedName>
    <definedName name="Contribution_Y1">'Calculations'!$B$5</definedName>
    <definedName name="Contribution_Y2">'Calculations'!$C$5</definedName>
    <definedName name="EBIT_Y1">'Calculations'!$B$6</definedName>
    <definedName name="EBIT_Y2">'Calculations'!$C$6</definedName>
    <definedName name="Tax_Y1">'Calculations'!$B$7</definedName>
    <definedName name="Tax_Y2">'Calculations'!$C$7</definedName>
    <definedName name="Net_Income_Y1">'Calculations'!$B$8</definedName>
    <definedName name="Net_Income_Y2">'Calculations'!$C$8</definedName>
    <definedName name="Inp_Discount_Rate">'Assumptions'!$B$8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IDFA Model Builder</author>
  </authors>
  <commentList>
    <comment ref="B2" authorId="0" shapeId="0">
      <text>
        <t>Year 1 units from assumption input</t>
      </text>
    </comment>
    <comment ref="C2" authorId="0" shapeId="0">
      <text>
        <t>Year 2 units = prior year * (1 + growth)</t>
      </text>
    </comment>
    <comment ref="B3" authorId="0" shapeId="0">
      <text>
        <t>Year 1 revenue = units * price per unit</t>
      </text>
    </comment>
    <comment ref="C3" authorId="0" shapeId="0">
      <text>
        <t>Year 2 revenue = units * price per unit</t>
      </text>
    </comment>
    <comment ref="B4" authorId="0" shapeId="0">
      <text>
        <t>Year 1 variable costs = units * cost per unit</t>
      </text>
    </comment>
    <comment ref="C4" authorId="0" shapeId="0">
      <text>
        <t>Year 2 variable costs = units * cost per unit</t>
      </text>
    </comment>
    <comment ref="B5" authorId="0" shapeId="0">
      <text>
        <t>Year 1 contribution = revenue minus variable costs</t>
      </text>
    </comment>
    <comment ref="C5" authorId="0" shapeId="0">
      <text>
        <t>Year 2 contribution = revenue minus variable costs</t>
      </text>
    </comment>
    <comment ref="B6" authorId="0" shapeId="0">
      <text>
        <t>Year 1 EBIT = contribution minus fixed costs</t>
      </text>
    </comment>
    <comment ref="C6" authorId="0" shapeId="0">
      <text>
        <t>Year 2 EBIT = contribution minus fixed costs</t>
      </text>
    </comment>
    <comment ref="B7" authorId="0" shapeId="0">
      <text>
        <t>Year 1 tax = EBIT * tax rate</t>
      </text>
    </comment>
    <comment ref="C7" authorId="0" shapeId="0">
      <text>
        <t>Year 2 tax = EBIT * tax rate</t>
      </text>
    </comment>
    <comment ref="B8" authorId="0" shapeId="0">
      <text>
        <t>Year 1 net income = EBIT minus tax</t>
      </text>
    </comment>
    <comment ref="C8" authorId="0" shapeId="0">
      <text>
        <t>Year 2 net income = EBIT minus tax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Unit Price</t>
        </is>
      </c>
      <c r="B2" s="2" t="n">
        <v>100</v>
      </c>
    </row>
    <row r="3">
      <c r="A3" t="inlineStr">
        <is>
          <t>Units Sold Year 1</t>
        </is>
      </c>
      <c r="B3" s="2" t="n">
        <v>50000</v>
      </c>
    </row>
    <row r="4">
      <c r="A4" t="inlineStr">
        <is>
          <t>Units Growth Rate</t>
        </is>
      </c>
      <c r="B4" s="3" t="n">
        <v>0.15</v>
      </c>
    </row>
    <row r="5">
      <c r="A5" t="inlineStr">
        <is>
          <t>Variable Cost Per Unit</t>
        </is>
      </c>
      <c r="B5" s="2" t="n">
        <v>40</v>
      </c>
    </row>
    <row r="6">
      <c r="A6" t="inlineStr">
        <is>
          <t>Fixed Costs</t>
        </is>
      </c>
      <c r="B6" s="2" t="n">
        <v>1000000</v>
      </c>
    </row>
    <row r="7">
      <c r="A7" t="inlineStr">
        <is>
          <t>Tax Rate</t>
        </is>
      </c>
      <c r="B7" s="3" t="n">
        <v>0.3</v>
      </c>
    </row>
    <row r="8">
      <c r="A8" t="inlineStr">
        <is>
          <t>Discount Rate</t>
        </is>
      </c>
      <c r="B8" s="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</row>
    <row r="2">
      <c r="A2" t="inlineStr">
        <is>
          <t>Units Sold</t>
        </is>
      </c>
      <c r="B2" s="2">
        <f>Inp_Units_Y1</f>
        <v/>
      </c>
      <c r="C2" s="2">
        <f>Units_Y1*(1+Inp_Units_Growth)</f>
        <v/>
      </c>
    </row>
    <row r="3">
      <c r="A3" t="inlineStr">
        <is>
          <t>Revenue</t>
        </is>
      </c>
      <c r="B3" s="2">
        <f>Units_Y1*Inp_Price</f>
        <v/>
      </c>
      <c r="C3" s="2">
        <f>Units_Y2*Inp_Price</f>
        <v/>
      </c>
    </row>
    <row r="4">
      <c r="A4" t="inlineStr">
        <is>
          <t>Variable Costs</t>
        </is>
      </c>
      <c r="B4" s="2">
        <f>Units_Y1*Inp_Variable_Cost_Per_Unit</f>
        <v/>
      </c>
      <c r="C4" s="2">
        <f>Units_Y2*Inp_Variable_Cost_Per_Unit</f>
        <v/>
      </c>
    </row>
    <row r="5">
      <c r="A5" t="inlineStr">
        <is>
          <t>Contribution Margin</t>
        </is>
      </c>
      <c r="B5" s="2">
        <f>Revenue_Y1-Variable_Costs_Y1</f>
        <v/>
      </c>
      <c r="C5" s="2">
        <f>Revenue_Y2-Variable_Costs_Y2</f>
        <v/>
      </c>
    </row>
    <row r="6">
      <c r="A6" t="inlineStr">
        <is>
          <t>EBIT</t>
        </is>
      </c>
      <c r="B6" s="2">
        <f>Contribution_Y1-Inp_Fixed_Costs</f>
        <v/>
      </c>
      <c r="C6" s="2">
        <f>Contribution_Y2-Inp_Fixed_Costs</f>
        <v/>
      </c>
    </row>
    <row r="7">
      <c r="A7" t="inlineStr">
        <is>
          <t>Tax</t>
        </is>
      </c>
      <c r="B7" s="2">
        <f>EBIT_Y1*Inp_Tax_Rate</f>
        <v/>
      </c>
      <c r="C7" s="2">
        <f>EBIT_Y2*Inp_Tax_Rate</f>
        <v/>
      </c>
    </row>
    <row r="8">
      <c r="A8" t="inlineStr">
        <is>
          <t>Net Income</t>
        </is>
      </c>
      <c r="B8" s="2">
        <f>EBIT_Y1-Tax_Y1</f>
        <v/>
      </c>
      <c r="C8" s="2">
        <f>EBIT_Y2-Tax_Y2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</row>
    <row r="2">
      <c r="A2" s="4" t="inlineStr">
        <is>
          <t>Units Sold</t>
        </is>
      </c>
      <c r="B2" s="2">
        <f>Units_Y1</f>
        <v/>
      </c>
      <c r="C2" s="2">
        <f>Units_Y2</f>
        <v/>
      </c>
    </row>
    <row r="3">
      <c r="A3" s="4" t="inlineStr">
        <is>
          <t>Revenue</t>
        </is>
      </c>
      <c r="B3" s="2">
        <f>Revenue_Y1</f>
        <v/>
      </c>
      <c r="C3" s="2">
        <f>Revenue_Y2</f>
        <v/>
      </c>
    </row>
    <row r="4">
      <c r="A4" s="4" t="inlineStr">
        <is>
          <t>Variable Costs</t>
        </is>
      </c>
      <c r="B4" s="2">
        <f>Variable_Costs_Y1</f>
        <v/>
      </c>
      <c r="C4" s="2">
        <f>Variable_Costs_Y2</f>
        <v/>
      </c>
    </row>
    <row r="5">
      <c r="A5" s="4" t="inlineStr">
        <is>
          <t>Contribution Margin</t>
        </is>
      </c>
      <c r="B5" s="2">
        <f>Contribution_Y1</f>
        <v/>
      </c>
      <c r="C5" s="2">
        <f>Contribution_Y2</f>
        <v/>
      </c>
    </row>
    <row r="6">
      <c r="A6" s="4" t="inlineStr">
        <is>
          <t>EBIT</t>
        </is>
      </c>
      <c r="B6" s="2">
        <f>EBIT_Y1</f>
        <v/>
      </c>
      <c r="C6" s="2">
        <f>EBIT_Y2</f>
        <v/>
      </c>
    </row>
    <row r="7">
      <c r="A7" s="4" t="inlineStr">
        <is>
          <t>Tax</t>
        </is>
      </c>
      <c r="B7" s="2">
        <f>Tax_Y1</f>
        <v/>
      </c>
      <c r="C7" s="2">
        <f>Tax_Y2</f>
        <v/>
      </c>
    </row>
    <row r="8">
      <c r="A8" s="4" t="inlineStr">
        <is>
          <t>Net Income</t>
        </is>
      </c>
      <c r="B8" s="2">
        <f>Net_Income_Y1</f>
        <v/>
      </c>
      <c r="C8" s="2">
        <f>Net_Income_Y2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2026-03-11T10:53:13Z</dcterms:created>
  <dcterms:modified xsi:type="dcterms:W3CDTF">2026-03-11T11:00:41Z</dcterms:modified>
</cp:coreProperties>
</file>