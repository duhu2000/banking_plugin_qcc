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ntribution_Y1" vbProcedure="false">Calculations!$B$5</definedName>
    <definedName function="false" hidden="false" name="Contribution_Y2" vbProcedure="false">Calculations!$C$5</definedName>
    <definedName function="false" hidden="false" name="EBIT_Y1" vbProcedure="false">Calculations!$B$6</definedName>
    <definedName function="false" hidden="false" name="EBIT_Y2" vbProcedure="false">Calculations!$C$6</definedName>
    <definedName function="false" hidden="false" name="Inp_Fixed_Costs" vbProcedure="false">Assumptions!$B$6</definedName>
    <definedName function="false" hidden="false" name="Inp_Price" vbProcedure="false">Assumptions!$B$2</definedName>
    <definedName function="false" hidden="false" name="Inp_Tax_Rate" vbProcedure="false">Assumptions!$B$7</definedName>
    <definedName function="false" hidden="false" name="Inp_Units_Growth" vbProcedure="false">Assumptions!$B$4</definedName>
    <definedName function="false" hidden="false" name="Inp_Units_Y1" vbProcedure="false">Assumptions!$B$3</definedName>
    <definedName function="false" hidden="false" name="Inp_Variable_Cost_Per_Unit" vbProcedure="false">Assumptions!$B$5</definedName>
    <definedName function="false" hidden="false" name="Net_Income_Y1" vbProcedure="false">Calculations!$B$8</definedName>
    <definedName function="false" hidden="false" name="Net_Income_Y2" vbProcedure="false">Calculations!$C$8</definedName>
    <definedName function="false" hidden="false" name="Revenue_Y1" vbProcedure="false">Calculations!$B$3</definedName>
    <definedName function="false" hidden="false" name="Revenue_Y2" vbProcedure="false">Calculations!$C$3</definedName>
    <definedName function="false" hidden="false" name="Tax_Y1" vbProcedure="false">Calculations!$B$7</definedName>
    <definedName function="false" hidden="false" name="Tax_Y2" vbProcedure="false">Calculations!$C$7</definedName>
    <definedName function="false" hidden="false" name="Units_Y1" vbProcedure="false">Calculations!$B$2</definedName>
    <definedName function="false" hidden="false" name="Units_Y2" vbProcedure="false">Calculations!$C$2</definedName>
    <definedName function="false" hidden="false" name="Variable_Costs_Y1" vbProcedure="false">Calculations!$B$4</definedName>
    <definedName function="false" hidden="false" name="Variable_Costs_Y2" vbProcedure="false">Calculations!$C$4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units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Year 1 revenue = units * price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Year 1 variable costs = units * cost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Year 1 contribution = revenue minus variable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Year 1 EBIT = contribution minus fixed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Year 1 tax = EBIT * tax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Year 1 net income = EBIT minus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2" authorId="0">
      <text>
        <r>
          <rPr>
            <sz val="10"/>
            <rFont val="Arial"/>
            <family val="2"/>
          </rPr>
          <t xml:space="preserve">Year 2 units = prior year * (1 + growth)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Year 2 revenue = units * price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Year 2 variable costs = units * cost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Year 2 contribution = revenue minus variable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Year 2 EBIT = contribution minus fixed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Year 2 tax = EBIT * tax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Year 2 net income = EBIT minus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<sst xmlns="http://schemas.openxmlformats.org/spreadsheetml/2006/main" count="28" uniqueCount="18">
  <si>
    <t xml:space="preserve">Assumption</t>
  </si>
  <si>
    <t xml:space="preserve">Value</t>
  </si>
  <si>
    <t xml:space="preserve">Unit Price</t>
  </si>
  <si>
    <t xml:space="preserve">Units Sold Year 1</t>
  </si>
  <si>
    <t xml:space="preserve">Units Growth Rate</t>
  </si>
  <si>
    <t xml:space="preserve">Variable Cost Per Unit</t>
  </si>
  <si>
    <t xml:space="preserve">Fixed Costs</t>
  </si>
  <si>
    <t xml:space="preserve">Tax Rate</t>
  </si>
  <si>
    <t xml:space="preserve">Metric</t>
  </si>
  <si>
    <t xml:space="preserve">Year 1</t>
  </si>
  <si>
    <t xml:space="preserve">Year 2</t>
  </si>
  <si>
    <t xml:space="preserve">Units Sold</t>
  </si>
  <si>
    <t xml:space="preserve">Revenue</t>
  </si>
  <si>
    <t xml:space="preserve">Variable Costs</t>
  </si>
  <si>
    <t xml:space="preserve">Contribution Margin</t>
  </si>
  <si>
    <t xml:space="preserve">EBIT</t>
  </si>
  <si>
    <t xml:space="preserve">Tax</t>
  </si>
  <si>
    <t xml:space="preserve">Net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</si>
</sst>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n">
        <v>100</v>
      </c>
    </row>
    <row r="3" customFormat="false" ht="15" hidden="false" customHeight="false" outlineLevel="0" collapsed="false">
      <c r="A3" s="0" t="s">
        <v>3</v>
      </c>
      <c r="B3" s="2" t="n">
        <v>75000</v>
      </c>
    </row>
    <row r="4" customFormat="false" ht="15" hidden="false" customHeight="false" outlineLevel="0" collapsed="false">
      <c r="A4" s="0" t="s">
        <v>4</v>
      </c>
      <c r="B4" s="3" t="n">
        <v>0.15</v>
      </c>
    </row>
    <row r="5" customFormat="false" ht="15" hidden="false" customHeight="false" outlineLevel="0" collapsed="false">
      <c r="A5" s="0" t="s">
        <v>5</v>
      </c>
      <c r="B5" s="2" t="n">
        <v>35</v>
      </c>
    </row>
    <row r="6" customFormat="false" ht="15" hidden="false" customHeight="false" outlineLevel="0" collapsed="false">
      <c r="A6" s="0" t="s">
        <v>6</v>
      </c>
      <c r="B6" s="2" t="n">
        <v>800000</v>
      </c>
    </row>
    <row r="7" customFormat="false" ht="15" hidden="false" customHeight="false" outlineLevel="0" collapsed="false">
      <c r="A7" s="0" t="s">
        <v>7</v>
      </c>
      <c r="B7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false" outlineLevel="0" collapsed="false">
      <c r="A2" s="0" t="s">
        <v>11</v>
      </c>
      <c r="B2" s="2" t="n">
        <f aca="false">Inp_Units_Y1</f>
        <v>75000</v>
      </c>
      <c r="C2" s="2" t="n">
        <f aca="false">Units_Y1*(1+Inp_Units_Growth)</f>
        <v>86250</v>
      </c>
    </row>
    <row r="3" customFormat="false" ht="15" hidden="false" customHeight="false" outlineLevel="0" collapsed="false">
      <c r="A3" s="0" t="s">
        <v>12</v>
      </c>
      <c r="B3" s="2" t="n">
        <f aca="false">Units_Y1*Inp_Price</f>
        <v>7500000</v>
      </c>
      <c r="C3" s="2" t="n">
        <f aca="false">Units_Y2*Inp_Price</f>
        <v>8625000</v>
      </c>
    </row>
    <row r="4" customFormat="false" ht="15" hidden="false" customHeight="false" outlineLevel="0" collapsed="false">
      <c r="A4" s="0" t="s">
        <v>13</v>
      </c>
      <c r="B4" s="2" t="n">
        <f aca="false">Units_Y1*Inp_Variable_Cost_Per_Unit</f>
        <v>2625000</v>
      </c>
      <c r="C4" s="2" t="n">
        <f aca="false">Units_Y2*Inp_Variable_Cost_Per_Unit</f>
        <v>3018750</v>
      </c>
    </row>
    <row r="5" customFormat="false" ht="15" hidden="false" customHeight="false" outlineLevel="0" collapsed="false">
      <c r="A5" s="0" t="s">
        <v>14</v>
      </c>
      <c r="B5" s="2" t="n">
        <f aca="false">Revenue_Y1-Variable_Costs_Y1</f>
        <v>4875000</v>
      </c>
      <c r="C5" s="2" t="n">
        <f aca="false">Revenue_Y2-Variable_Costs_Y2</f>
        <v>5606250</v>
      </c>
    </row>
    <row r="6" customFormat="false" ht="15" hidden="false" customHeight="false" outlineLevel="0" collapsed="false">
      <c r="A6" s="0" t="s">
        <v>15</v>
      </c>
      <c r="B6" s="2" t="n">
        <f aca="false">Contribution_Y1-Inp_Fixed_Costs</f>
        <v>4075000</v>
      </c>
      <c r="C6" s="2" t="n">
        <f aca="false">Contribution_Y2-Inp_Fixed_Costs</f>
        <v>4806250</v>
      </c>
    </row>
    <row r="7" customFormat="false" ht="15" hidden="false" customHeight="false" outlineLevel="0" collapsed="false">
      <c r="A7" s="0" t="s">
        <v>16</v>
      </c>
      <c r="B7" s="2" t="n">
        <f aca="false">EBIT_Y1*Inp_Tax_Rate</f>
        <v>1222500</v>
      </c>
      <c r="C7" s="2" t="n">
        <f aca="false">EBIT_Y2*Inp_Tax_Rate</f>
        <v>1441875</v>
      </c>
    </row>
    <row r="8" customFormat="false" ht="15" hidden="false" customHeight="false" outlineLevel="0" collapsed="false">
      <c r="A8" s="0" t="s">
        <v>17</v>
      </c>
      <c r="B8" s="2" t="n">
        <f aca="false">EBIT_Y1-Tax_Y1</f>
        <v>2852500</v>
      </c>
      <c r="C8" s="2" t="n">
        <f aca="false">EBIT_Y2-Tax_Y2</f>
        <v>3364375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5" hidden="false" customHeight="false" outlineLevel="0" collapsed="false">
      <c r="A2" s="4" t="s">
        <v>11</v>
      </c>
      <c r="B2" s="2" t="n">
        <f aca="false">Units_Y1</f>
        <v>75000</v>
      </c>
      <c r="C2" s="2" t="n">
        <f aca="false">Units_Y2</f>
        <v>86250</v>
      </c>
    </row>
    <row r="3" customFormat="false" ht="15" hidden="false" customHeight="false" outlineLevel="0" collapsed="false">
      <c r="A3" s="4" t="s">
        <v>12</v>
      </c>
      <c r="B3" s="2" t="n">
        <f aca="false">Revenue_Y1</f>
        <v>7500000</v>
      </c>
      <c r="C3" s="2" t="n">
        <f aca="false">Revenue_Y2</f>
        <v>8625000</v>
      </c>
    </row>
    <row r="4" customFormat="false" ht="15" hidden="false" customHeight="false" outlineLevel="0" collapsed="false">
      <c r="A4" s="4" t="s">
        <v>13</v>
      </c>
      <c r="B4" s="2" t="n">
        <f aca="false">Variable_Costs_Y1</f>
        <v>2625000</v>
      </c>
      <c r="C4" s="2" t="n">
        <f aca="false">Variable_Costs_Y2</f>
        <v>3018750</v>
      </c>
    </row>
    <row r="5" customFormat="false" ht="15" hidden="false" customHeight="false" outlineLevel="0" collapsed="false">
      <c r="A5" s="4" t="s">
        <v>14</v>
      </c>
      <c r="B5" s="2" t="n">
        <f aca="false">Contribution_Y1</f>
        <v>4875000</v>
      </c>
      <c r="C5" s="2" t="n">
        <f aca="false">Contribution_Y2</f>
        <v>5606250</v>
      </c>
    </row>
    <row r="6" customFormat="false" ht="15" hidden="false" customHeight="false" outlineLevel="0" collapsed="false">
      <c r="A6" s="4" t="s">
        <v>15</v>
      </c>
      <c r="B6" s="2" t="n">
        <f aca="false">EBIT_Y1</f>
        <v>4075000</v>
      </c>
      <c r="C6" s="2" t="n">
        <f aca="false">EBIT_Y2</f>
        <v>4806250</v>
      </c>
    </row>
    <row r="7" customFormat="false" ht="15" hidden="false" customHeight="false" outlineLevel="0" collapsed="false">
      <c r="A7" s="4" t="s">
        <v>16</v>
      </c>
      <c r="B7" s="2" t="n">
        <f aca="false">Tax_Y1</f>
        <v>1222500</v>
      </c>
      <c r="C7" s="2" t="n">
        <f aca="false">Tax_Y2</f>
        <v>1441875</v>
      </c>
    </row>
    <row r="8" customFormat="false" ht="15" hidden="false" customHeight="false" outlineLevel="0" collapsed="false">
      <c r="A8" s="4" t="s">
        <v>17</v>
      </c>
      <c r="B8" s="2" t="n">
        <f aca="false">Net_Income_Y1</f>
        <v>2852500</v>
      </c>
      <c r="C8" s="2" t="n">
        <f aca="false">Net_Income_Y2</f>
        <v>3364375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2026-03-11T11:02:14Z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