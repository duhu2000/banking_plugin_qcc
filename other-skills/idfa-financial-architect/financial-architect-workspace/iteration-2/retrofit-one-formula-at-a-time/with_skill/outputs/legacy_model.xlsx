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3"/>
  </sheets>
  <definedNames>
    <definedName function="false" hidden="false" name="Inp_Rev_Growth" vbProcedure="false">Model!$B$3</definedName>
    <definedName function="false" hidden="false" name="Inp_Rev_Y1" vbProcedure="false">Model!$B$2</definedName>
    <definedName function="false" hidden="false" name="Revenue_Y1" vbProcedure="false">Model!$C$6</definedName>
    <definedName function="false" hidden="false" name="Revenue_Y2" vbProcedure="false">Model!$D$6</definedName>
    <definedName function="false" hidden="false" name="Revenue_Y3" vbProcedure="false">Model!$E$6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<sst xmlns="http://schemas.openxmlformats.org/spreadsheetml/2006/main" count="17" uniqueCount="14">
  <si>
    <t xml:space="preserve">Assumptions</t>
  </si>
  <si>
    <t xml:space="preserve">Revenue</t>
  </si>
  <si>
    <t xml:space="preserve">Revenue Growth</t>
  </si>
  <si>
    <t xml:space="preserve">COGS %</t>
  </si>
  <si>
    <t xml:space="preserve">Y1</t>
  </si>
  <si>
    <t xml:space="preserve">COGS</t>
  </si>
  <si>
    <t xml:space="preserve">Gross Profit</t>
  </si>
  <si>
    <t xml:space="preserve">Equity</t>
  </si>
  <si>
    <t xml:space="preserve">Debt</t>
  </si>
  <si>
    <t xml:space="preserve">Total Capital</t>
  </si>
  <si>
    <t xml:space="preserve">Cost of Equity</t>
  </si>
  <si>
    <t xml:space="preserve">Cost of Debt</t>
  </si>
  <si>
    <t xml:space="preserve">Tax Rate</t>
  </si>
  <si>
    <t xml:space="preserve">WACC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</si>
</sst>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2" t="n">
        <v>10000000</v>
      </c>
    </row>
    <row r="3" customFormat="false" ht="15" hidden="false" customHeight="false" outlineLevel="0" collapsed="false">
      <c r="A3" s="0" t="s">
        <v>2</v>
      </c>
      <c r="B3" s="3" t="n">
        <v>0.1</v>
      </c>
    </row>
    <row r="4" customFormat="false" ht="15" hidden="false" customHeight="false" outlineLevel="0" collapsed="false">
      <c r="A4" s="0" t="s">
        <v>3</v>
      </c>
      <c r="B4" s="3" t="n">
        <v>0.6</v>
      </c>
    </row>
    <row r="6" customFormat="false" ht="15" hidden="false" customHeight="false" outlineLevel="0" collapsed="false">
      <c r="A6" s="0" t="s">
        <v>1</v>
      </c>
      <c r="B6" s="0" t="s">
        <v>4</v>
      </c>
      <c r="C6" s="2" t="n">
        <f aca="false">Inp_Rev_Y1</f>
        <v>10000000</v>
      </c>
      <c r="D6" s="2" t="n">
        <f aca="false">Revenue_Y1*(1+Inp_Rev_Growth)</f>
        <v>11000000</v>
      </c>
      <c r="E6" s="2" t="n">
        <f aca="false">Revenue_Y2*(1+Inp_Rev_Growth)</f>
        <v>12100000</v>
      </c>
    </row>
    <row r="7" customFormat="false" ht="15" hidden="false" customHeight="false" outlineLevel="0" collapsed="false">
      <c r="A7" s="0" t="s">
        <v>5</v>
      </c>
      <c r="B7" s="0" t="s">
        <v>4</v>
      </c>
      <c r="C7" s="2" t="n">
        <f aca="false">C6*B4</f>
        <v>6000000</v>
      </c>
      <c r="D7" s="2" t="n">
        <f aca="false">D6*0.59</f>
        <v>6490000</v>
      </c>
      <c r="E7" s="2" t="n">
        <f aca="false">E6*0.58</f>
        <v>7018000</v>
      </c>
    </row>
    <row r="8" customFormat="false" ht="15" hidden="false" customHeight="false" outlineLevel="0" collapsed="false">
      <c r="A8" s="0" t="s">
        <v>6</v>
      </c>
      <c r="B8" s="0" t="s">
        <v>4</v>
      </c>
      <c r="C8" s="2" t="n">
        <f aca="false">C6-C7</f>
        <v>4000000</v>
      </c>
      <c r="D8" s="2" t="n">
        <f aca="false">D6-D7</f>
        <v>4510000</v>
      </c>
      <c r="E8" s="2" t="n">
        <f aca="false">E6-E7</f>
        <v>5082000</v>
      </c>
    </row>
    <row r="10" customFormat="false" ht="15" hidden="false" customHeight="false" outlineLevel="0" collapsed="false">
      <c r="A10" s="0" t="s">
        <v>7</v>
      </c>
      <c r="B10" s="2" t="n">
        <v>5000000</v>
      </c>
    </row>
    <row r="11" customFormat="false" ht="15" hidden="false" customHeight="false" outlineLevel="0" collapsed="false">
      <c r="A11" s="0" t="s">
        <v>8</v>
      </c>
      <c r="B11" s="2" t="n">
        <v>3000000</v>
      </c>
    </row>
    <row r="12" customFormat="false" ht="15" hidden="false" customHeight="false" outlineLevel="0" collapsed="false">
      <c r="A12" s="0" t="s">
        <v>9</v>
      </c>
      <c r="B12" s="2" t="n">
        <v>8000000</v>
      </c>
    </row>
    <row r="13" customFormat="false" ht="15" hidden="false" customHeight="false" outlineLevel="0" collapsed="false">
      <c r="A13" s="0" t="s">
        <v>10</v>
      </c>
      <c r="B13" s="3" t="n">
        <v>0.12</v>
      </c>
    </row>
    <row r="14" customFormat="false" ht="15" hidden="false" customHeight="false" outlineLevel="0" collapsed="false">
      <c r="A14" s="0" t="s">
        <v>11</v>
      </c>
      <c r="B14" s="3" t="n">
        <v>0.06</v>
      </c>
    </row>
    <row r="15" customFormat="false" ht="15" hidden="false" customHeight="false" outlineLevel="0" collapsed="false">
      <c r="A15" s="0" t="s">
        <v>12</v>
      </c>
      <c r="B15" s="3" t="n">
        <v>0.25</v>
      </c>
    </row>
    <row r="16" customFormat="false" ht="15" hidden="false" customHeight="false" outlineLevel="0" collapsed="false">
      <c r="A16" s="0" t="s">
        <v>13</v>
      </c>
      <c r="B16" s="3" t="n">
        <f aca="false">($B$10/$B$12)*$B$13+($B$11/$B$12)*$B$14*(1-$B$15)</f>
        <v>0.091875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2026-03-11T10:53:13Z</dcterms:created>
  <dc:creator>openpyxl</dc:creator>
  <dc:description/>
  <dc:language>en-US</dc:language>
  <cp:lastModifiedBy/>
  <dcterms:modified xsi:type="dcterms:W3CDTF">2026-03-11T13:07:58Z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