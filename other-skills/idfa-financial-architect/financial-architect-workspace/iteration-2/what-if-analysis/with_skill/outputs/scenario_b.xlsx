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GS_Pct_Y1" vbProcedure="false">Calculations!$B$3</definedName>
    <definedName function="false" hidden="false" name="COGS_Pct_Y2" vbProcedure="false">Calculations!$C$3</definedName>
    <definedName function="false" hidden="false" name="COGS_Pct_Y3" vbProcedure="false">Calculations!$D$3</definedName>
    <definedName function="false" hidden="false" name="COGS_Y1" vbProcedure="false">Calculations!$B$4</definedName>
    <definedName function="false" hidden="false" name="COGS_Y2" vbProcedure="false">Calculations!$C$4</definedName>
    <definedName function="false" hidden="false" name="COGS_Y3" vbProcedure="false">Calculations!$D$4</definedName>
    <definedName function="false" hidden="false" name="EBITDA_Y1" vbProcedure="false">Calculations!$B$7</definedName>
    <definedName function="false" hidden="false" name="EBITDA_Y2" vbProcedure="false">Calculations!$C$7</definedName>
    <definedName function="false" hidden="false" name="EBITDA_Y3" vbProcedure="false">Calculations!$D$7</definedName>
    <definedName function="false" hidden="false" name="Gross_Profit_Y1" vbProcedure="false">Calculations!$B$5</definedName>
    <definedName function="false" hidden="false" name="Gross_Profit_Y2" vbProcedure="false">Calculations!$C$5</definedName>
    <definedName function="false" hidden="false" name="Gross_Profit_Y3" vbProcedure="false">Calculations!$D$5</definedName>
    <definedName function="false" hidden="false" name="Inp_COGS_Efficiency" vbProcedure="false">Assumptions!$B$5</definedName>
    <definedName function="false" hidden="false" name="Inp_COGS_Pct_Y1" vbProcedure="false">Assumptions!$B$4</definedName>
    <definedName function="false" hidden="false" name="Inp_OpEx_Growth" vbProcedure="false">Assumptions!$B$7</definedName>
    <definedName function="false" hidden="false" name="Inp_OpEx_Y1" vbProcedure="false">Assumptions!$B$6</definedName>
    <definedName function="false" hidden="false" name="Inp_Rev_Growth" vbProcedure="false">Assumptions!$B$3</definedName>
    <definedName function="false" hidden="false" name="Inp_Rev_Y1" vbProcedure="false">Assumptions!$B$2</definedName>
    <definedName function="false" hidden="false" name="OpEx_Y1" vbProcedure="false">Calculations!$B$6</definedName>
    <definedName function="false" hidden="false" name="OpEx_Y2" vbProcedure="false">Calculations!$C$6</definedName>
    <definedName function="false" hidden="false" name="OpEx_Y3" vbProcedure="false">Calculations!$D$6</definedName>
    <definedName function="false" hidden="false" name="Revenue_Y1" vbProcedure="false">Calculations!$B$2</definedName>
    <definedName function="false" hidden="false" name="Revenue_Y2" vbProcedure="false">Calculations!$C$2</definedName>
    <definedName function="false" hidden="false" name="Revenue_Y3" vbProcedure="false">Calculations!$D$2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revenue sourced from assumption input</t>
        </r>
      </text>
    </comment>
    <comment ref="B3" authorId="0">
      <text>
        <r>
          <rPr>
            <sz val="10"/>
            <rFont val="Arial"/>
            <family val="2"/>
          </rPr>
          <t xml:space="preserve">Year 1 COGS percentage from assumption</t>
        </r>
      </text>
    </comment>
    <comment ref="B4" authorId="0">
      <text>
        <r>
          <rPr>
            <sz val="10"/>
            <rFont val="Arial"/>
            <family val="2"/>
          </rPr>
          <t xml:space="preserve">Year 1 COGS = Revenue * COGS percentage</t>
        </r>
      </text>
    </comment>
    <comment ref="B5" authorId="0">
      <text>
        <r>
          <rPr>
            <sz val="10"/>
            <rFont val="Arial"/>
            <family val="2"/>
          </rPr>
          <t xml:space="preserve">Year 1 Gross Profit = Revenue minus COGS</t>
        </r>
      </text>
    </comment>
    <comment ref="B6" authorId="0">
      <text>
        <r>
          <rPr>
            <sz val="10"/>
            <rFont val="Arial"/>
            <family val="2"/>
          </rPr>
          <t xml:space="preserve">Year 1 OpEx sourced from assumption input</t>
        </r>
      </text>
    </comment>
    <comment ref="B7" authorId="0">
      <text>
        <r>
          <rPr>
            <sz val="10"/>
            <rFont val="Arial"/>
            <family val="2"/>
          </rPr>
          <t xml:space="preserve">Year 1 EBITDA = Gross Profit minus OpEx</t>
        </r>
      </text>
    </comment>
    <comment ref="C2" authorId="0">
      <text>
        <r>
          <rPr>
            <sz val="10"/>
            <rFont val="Arial"/>
            <family val="2"/>
          </rPr>
          <t xml:space="preserve">Year 2 revenue = prior year * (1 + growth rate)</t>
        </r>
      </text>
    </comment>
    <comment ref="C3" authorId="0">
      <text>
        <r>
          <rPr>
            <sz val="10"/>
            <rFont val="Arial"/>
            <family val="2"/>
          </rPr>
          <t xml:space="preserve">Year 2 COGS % reduced by efficiency gain</t>
        </r>
      </text>
    </comment>
    <comment ref="C4" authorId="0">
      <text>
        <r>
          <rPr>
            <sz val="10"/>
            <rFont val="Arial"/>
            <family val="2"/>
          </rPr>
          <t xml:space="preserve">Year 2 COGS = Revenue * COGS percentage</t>
        </r>
      </text>
    </comment>
    <comment ref="C5" authorId="0">
      <text>
        <r>
          <rPr>
            <sz val="10"/>
            <rFont val="Arial"/>
            <family val="2"/>
          </rPr>
          <t xml:space="preserve">Year 2 Gross Profit = Revenue minus COGS</t>
        </r>
      </text>
    </comment>
    <comment ref="C6" authorId="0">
      <text>
        <r>
          <rPr>
            <sz val="10"/>
            <rFont val="Arial"/>
            <family val="2"/>
          </rPr>
          <t xml:space="preserve">Year 2 OpEx = prior year * (1 + growth rate)</t>
        </r>
      </text>
    </comment>
    <comment ref="C7" authorId="0">
      <text>
        <r>
          <rPr>
            <sz val="10"/>
            <rFont val="Arial"/>
            <family val="2"/>
          </rPr>
          <t xml:space="preserve">Year 2 EBITDA = Gross Profit minus OpEx</t>
        </r>
      </text>
    </comment>
    <comment ref="D2" authorId="0">
      <text>
        <r>
          <rPr>
            <sz val="10"/>
            <rFont val="Arial"/>
            <family val="2"/>
          </rPr>
          <t xml:space="preserve">Year 3 revenue = prior year * (1 + growth rate)</t>
        </r>
      </text>
    </comment>
    <comment ref="D3" authorId="0">
      <text>
        <r>
          <rPr>
            <sz val="10"/>
            <rFont val="Arial"/>
            <family val="2"/>
          </rPr>
          <t xml:space="preserve">Year 3 COGS % reduced by efficiency gain</t>
        </r>
      </text>
    </comment>
    <comment ref="D4" authorId="0">
      <text>
        <r>
          <rPr>
            <sz val="10"/>
            <rFont val="Arial"/>
            <family val="2"/>
          </rPr>
          <t xml:space="preserve">Year 3 COGS = Revenue * COGS percentage</t>
        </r>
      </text>
    </comment>
    <comment ref="D5" authorId="0">
      <text>
        <r>
          <rPr>
            <sz val="10"/>
            <rFont val="Arial"/>
            <family val="2"/>
          </rPr>
          <t xml:space="preserve">Year 3 Gross Profit = Revenue minus COGS</t>
        </r>
      </text>
    </comment>
    <comment ref="D6" authorId="0">
      <text>
        <r>
          <rPr>
            <sz val="10"/>
            <rFont val="Arial"/>
            <family val="2"/>
          </rPr>
          <t xml:space="preserve">Year 3 OpEx = prior year * (1 + growth rate)</t>
        </r>
      </text>
    </comment>
    <comment ref="D7" authorId="0">
      <text>
        <r>
          <rPr>
            <sz val="10"/>
            <rFont val="Arial"/>
            <family val="2"/>
          </rPr>
          <t xml:space="preserve">Year 3 EBITDA = Gross Profit minus OpEx</t>
        </r>
      </text>
    </comment>
  </commentList>
</comments>
</file>

<file path=xl/sharedStrings.xml><?xml version="1.0" encoding="utf-8"?>
<sst xmlns="http://schemas.openxmlformats.org/spreadsheetml/2006/main" count="27" uniqueCount="19">
  <si>
    <t xml:space="preserve">Assumption</t>
  </si>
  <si>
    <t xml:space="preserve">Value</t>
  </si>
  <si>
    <t xml:space="preserve">Revenue Year 1</t>
  </si>
  <si>
    <t xml:space="preserve">Revenue Growth Rate</t>
  </si>
  <si>
    <t xml:space="preserve">COGS % Year 1</t>
  </si>
  <si>
    <t xml:space="preserve">COGS Efficiency Gain/yr</t>
  </si>
  <si>
    <t xml:space="preserve">OpEx Year 1</t>
  </si>
  <si>
    <t xml:space="preserve">OpEx Growth Rate</t>
  </si>
  <si>
    <t xml:space="preserve">Metric</t>
  </si>
  <si>
    <t xml:space="preserve">Year 1</t>
  </si>
  <si>
    <t xml:space="preserve">Year 2</t>
  </si>
  <si>
    <t xml:space="preserve">Year 3</t>
  </si>
  <si>
    <t xml:space="preserve">Revenue</t>
  </si>
  <si>
    <t xml:space="preserve">COGS %</t>
  </si>
  <si>
    <t xml:space="preserve">COGS</t>
  </si>
  <si>
    <t xml:space="preserve">Gross Profit</t>
  </si>
  <si>
    <t xml:space="preserve">Operating Expenses</t>
  </si>
  <si>
    <t xml:space="preserve">EBITDA</t>
  </si>
  <si>
    <t xml:space="preserve">OpEx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</si>
</sst>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10000000</v>
      </c>
    </row>
    <row r="3" customFormat="false" ht="15" hidden="false" customHeight="false" outlineLevel="0" collapsed="false">
      <c r="A3" s="0" t="s">
        <v>3</v>
      </c>
      <c r="B3" s="3" t="n">
        <v>0.05</v>
      </c>
    </row>
    <row r="4" customFormat="false" ht="15" hidden="false" customHeight="false" outlineLevel="0" collapsed="false">
      <c r="A4" s="0" t="s">
        <v>4</v>
      </c>
      <c r="B4" s="3" t="n">
        <v>0.6</v>
      </c>
    </row>
    <row r="5" customFormat="false" ht="15" hidden="false" customHeight="false" outlineLevel="0" collapsed="false">
      <c r="A5" s="0" t="s">
        <v>5</v>
      </c>
      <c r="B5" s="3" t="n">
        <v>0.005</v>
      </c>
    </row>
    <row r="6" customFormat="false" ht="15" hidden="false" customHeight="false" outlineLevel="0" collapsed="false">
      <c r="A6" s="0" t="s">
        <v>6</v>
      </c>
      <c r="B6" s="2" t="n">
        <v>2000000</v>
      </c>
    </row>
    <row r="7" customFormat="false" ht="15" hidden="false" customHeight="false" outlineLevel="0" collapsed="false">
      <c r="A7" s="0" t="s">
        <v>7</v>
      </c>
      <c r="B7" s="3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</row>
    <row r="2" customFormat="false" ht="15" hidden="false" customHeight="false" outlineLevel="0" collapsed="false">
      <c r="A2" s="0" t="s">
        <v>12</v>
      </c>
      <c r="B2" s="2" t="n">
        <f aca="false">Inp_Rev_Y1</f>
        <v>10000000</v>
      </c>
      <c r="C2" s="2" t="n">
        <f aca="false">Revenue_Y1*(1+Inp_Rev_Growth)</f>
        <v>10500000</v>
      </c>
      <c r="D2" s="2" t="n">
        <f aca="false">Revenue_Y2*(1+Inp_Rev_Growth)</f>
        <v>11025000</v>
      </c>
    </row>
    <row r="3" customFormat="false" ht="15" hidden="false" customHeight="false" outlineLevel="0" collapsed="false">
      <c r="A3" s="0" t="s">
        <v>13</v>
      </c>
      <c r="B3" s="2" t="n">
        <f aca="false">Inp_COGS_Pct_Y1</f>
        <v>0.6</v>
      </c>
      <c r="C3" s="2" t="n">
        <f aca="false">COGS_Pct_Y1-Inp_COGS_Efficiency</f>
        <v>0.595</v>
      </c>
      <c r="D3" s="2" t="n">
        <f aca="false">COGS_Pct_Y2-Inp_COGS_Efficiency</f>
        <v>0.59</v>
      </c>
    </row>
    <row r="4" customFormat="false" ht="15" hidden="false" customHeight="false" outlineLevel="0" collapsed="false">
      <c r="A4" s="0" t="s">
        <v>14</v>
      </c>
      <c r="B4" s="2" t="n">
        <f aca="false">Revenue_Y1*COGS_Pct_Y1</f>
        <v>6000000</v>
      </c>
      <c r="C4" s="2" t="n">
        <f aca="false">Revenue_Y2*COGS_Pct_Y2</f>
        <v>6247500</v>
      </c>
      <c r="D4" s="2" t="n">
        <f aca="false">Revenue_Y3*COGS_Pct_Y3</f>
        <v>6504750</v>
      </c>
    </row>
    <row r="5" customFormat="false" ht="15" hidden="false" customHeight="false" outlineLevel="0" collapsed="false">
      <c r="A5" s="0" t="s">
        <v>15</v>
      </c>
      <c r="B5" s="2" t="n">
        <f aca="false">Revenue_Y1-COGS_Y1</f>
        <v>4000000</v>
      </c>
      <c r="C5" s="2" t="n">
        <f aca="false">Revenue_Y2-COGS_Y2</f>
        <v>4252500</v>
      </c>
      <c r="D5" s="2" t="n">
        <f aca="false">Revenue_Y3-COGS_Y3</f>
        <v>4520250</v>
      </c>
    </row>
    <row r="6" customFormat="false" ht="15" hidden="false" customHeight="false" outlineLevel="0" collapsed="false">
      <c r="A6" s="0" t="s">
        <v>16</v>
      </c>
      <c r="B6" s="2" t="n">
        <f aca="false">Inp_OpEx_Y1</f>
        <v>2000000</v>
      </c>
      <c r="C6" s="2" t="n">
        <f aca="false">OpEx_Y1*(1+Inp_OpEx_Growth)</f>
        <v>2100000</v>
      </c>
      <c r="D6" s="2" t="n">
        <f aca="false">OpEx_Y2*(1+Inp_OpEx_Growth)</f>
        <v>2205000</v>
      </c>
    </row>
    <row r="7" customFormat="false" ht="15" hidden="false" customHeight="false" outlineLevel="0" collapsed="false">
      <c r="A7" s="0" t="s">
        <v>17</v>
      </c>
      <c r="B7" s="2" t="n">
        <f aca="false">Gross_Profit_Y1-OpEx_Y1</f>
        <v>2000000</v>
      </c>
      <c r="C7" s="2" t="n">
        <f aca="false">Gross_Profit_Y2-OpEx_Y2</f>
        <v>2152500</v>
      </c>
      <c r="D7" s="2" t="n">
        <f aca="false">Gross_Profit_Y3-OpEx_Y3</f>
        <v>2315250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</row>
    <row r="2" customFormat="false" ht="15" hidden="false" customHeight="false" outlineLevel="0" collapsed="false">
      <c r="A2" s="4" t="s">
        <v>12</v>
      </c>
      <c r="B2" s="2" t="n">
        <f aca="false">Revenue_Y1</f>
        <v>10000000</v>
      </c>
      <c r="C2" s="2" t="n">
        <f aca="false">Revenue_Y2</f>
        <v>10500000</v>
      </c>
      <c r="D2" s="2" t="n">
        <f aca="false">Revenue_Y3</f>
        <v>11025000</v>
      </c>
    </row>
    <row r="3" customFormat="false" ht="15" hidden="false" customHeight="false" outlineLevel="0" collapsed="false">
      <c r="A3" s="4" t="s">
        <v>14</v>
      </c>
      <c r="B3" s="2" t="n">
        <f aca="false">COGS_Y1</f>
        <v>6000000</v>
      </c>
      <c r="C3" s="2" t="n">
        <f aca="false">COGS_Y2</f>
        <v>6247500</v>
      </c>
      <c r="D3" s="2" t="n">
        <f aca="false">COGS_Y3</f>
        <v>6504750</v>
      </c>
    </row>
    <row r="4" customFormat="false" ht="15" hidden="false" customHeight="false" outlineLevel="0" collapsed="false">
      <c r="A4" s="4" t="s">
        <v>15</v>
      </c>
      <c r="B4" s="2" t="n">
        <f aca="false">Gross_Profit_Y1</f>
        <v>4000000</v>
      </c>
      <c r="C4" s="2" t="n">
        <f aca="false">Gross_Profit_Y2</f>
        <v>4252500</v>
      </c>
      <c r="D4" s="2" t="n">
        <f aca="false">Gross_Profit_Y3</f>
        <v>4520250</v>
      </c>
    </row>
    <row r="5" customFormat="false" ht="15" hidden="false" customHeight="false" outlineLevel="0" collapsed="false">
      <c r="A5" s="4" t="s">
        <v>18</v>
      </c>
      <c r="B5" s="2" t="n">
        <f aca="false">OpEx_Y1</f>
        <v>2000000</v>
      </c>
      <c r="C5" s="2" t="n">
        <f aca="false">OpEx_Y2</f>
        <v>2100000</v>
      </c>
      <c r="D5" s="2" t="n">
        <f aca="false">OpEx_Y3</f>
        <v>2205000</v>
      </c>
    </row>
    <row r="6" customFormat="false" ht="15" hidden="false" customHeight="false" outlineLevel="0" collapsed="false">
      <c r="A6" s="4" t="s">
        <v>17</v>
      </c>
      <c r="B6" s="2" t="n">
        <f aca="false">EBITDA_Y1</f>
        <v>2000000</v>
      </c>
      <c r="C6" s="2" t="n">
        <f aca="false">EBITDA_Y2</f>
        <v>2152500</v>
      </c>
      <c r="D6" s="2" t="n">
        <f aca="false">EBITDA_Y3</f>
        <v>2315250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2026-03-11T13:04:26Z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