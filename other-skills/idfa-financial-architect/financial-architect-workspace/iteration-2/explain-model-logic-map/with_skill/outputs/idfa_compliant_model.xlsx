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Rev_Y1">'Assumptions'!$B$2</definedName>
    <definedName name="Inp_Rev_Growth">'Assumptions'!$B$3</definedName>
    <definedName name="Inp_COGS_Pct_Y1">'Assumptions'!$B$4</definedName>
    <definedName name="Inp_COGS_Efficiency">'Assumptions'!$B$5</definedName>
    <definedName name="Inp_OpEx_Y1">'Assumptions'!$B$6</definedName>
    <definedName name="Inp_OpEx_Growth">'Assumptions'!$B$7</definedName>
    <definedName name="Revenue_Y1">'Calculations'!$B$2</definedName>
    <definedName name="Revenue_Y2">'Calculations'!$C$2</definedName>
    <definedName name="Revenue_Y3">'Calculations'!$D$2</definedName>
    <definedName name="COGS_Pct_Y1">'Calculations'!$B$3</definedName>
    <definedName name="COGS_Pct_Y2">'Calculations'!$C$3</definedName>
    <definedName name="COGS_Pct_Y3">'Calculations'!$D$3</definedName>
    <definedName name="COGS_Y1">'Calculations'!$B$4</definedName>
    <definedName name="COGS_Y2">'Calculations'!$C$4</definedName>
    <definedName name="COGS_Y3">'Calculations'!$D$4</definedName>
    <definedName name="Gross_Profit_Y1">'Calculations'!$B$5</definedName>
    <definedName name="Gross_Profit_Y2">'Calculations'!$C$5</definedName>
    <definedName name="Gross_Profit_Y3">'Calculations'!$D$5</definedName>
    <definedName name="OpEx_Y1">'Calculations'!$B$6</definedName>
    <definedName name="OpEx_Y2">'Calculations'!$C$6</definedName>
    <definedName name="OpEx_Y3">'Calculations'!$D$6</definedName>
    <definedName name="EBITDA_Y1">'Calculations'!$B$7</definedName>
    <definedName name="EBITDA_Y2">'Calculations'!$C$7</definedName>
    <definedName name="EBITDA_Y3">'Calculations'!$D$7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revenue sourced from assumption input</t>
      </text>
    </comment>
    <comment ref="C2" authorId="0" shapeId="0">
      <text>
        <t>Year 2 revenue = prior year * (1 + growth rate)</t>
      </text>
    </comment>
    <comment ref="D2" authorId="0" shapeId="0">
      <text>
        <t>Year 3 revenue = prior year * (1 + growth rate)</t>
      </text>
    </comment>
    <comment ref="B3" authorId="0" shapeId="0">
      <text>
        <t>Year 1 COGS percentage from assumption</t>
      </text>
    </comment>
    <comment ref="C3" authorId="0" shapeId="0">
      <text>
        <t>Year 2 COGS % reduced by efficiency gain</t>
      </text>
    </comment>
    <comment ref="D3" authorId="0" shapeId="0">
      <text>
        <t>Year 3 COGS % reduced by efficiency gain</t>
      </text>
    </comment>
    <comment ref="B4" authorId="0" shapeId="0">
      <text>
        <t>Year 1 COGS = Revenue * COGS percentage</t>
      </text>
    </comment>
    <comment ref="C4" authorId="0" shapeId="0">
      <text>
        <t>Year 2 COGS = Revenue * COGS percentage</t>
      </text>
    </comment>
    <comment ref="D4" authorId="0" shapeId="0">
      <text>
        <t>Year 3 COGS = Revenue * COGS percentage</t>
      </text>
    </comment>
    <comment ref="B5" authorId="0" shapeId="0">
      <text>
        <t>Year 1 Gross Profit = Revenue minus COGS</t>
      </text>
    </comment>
    <comment ref="C5" authorId="0" shapeId="0">
      <text>
        <t>Year 2 Gross Profit = Revenue minus COGS</t>
      </text>
    </comment>
    <comment ref="D5" authorId="0" shapeId="0">
      <text>
        <t>Year 3 Gross Profit = Revenue minus COGS</t>
      </text>
    </comment>
    <comment ref="B6" authorId="0" shapeId="0">
      <text>
        <t>Year 1 OpEx sourced from assumption input</t>
      </text>
    </comment>
    <comment ref="C6" authorId="0" shapeId="0">
      <text>
        <t>Year 2 OpEx = prior year * (1 + growth rate)</t>
      </text>
    </comment>
    <comment ref="D6" authorId="0" shapeId="0">
      <text>
        <t>Year 3 OpEx = prior year * (1 + growth rate)</t>
      </text>
    </comment>
    <comment ref="B7" authorId="0" shapeId="0">
      <text>
        <t>Year 1 EBITDA = Gross Profit minus OpEx</t>
      </text>
    </comment>
    <comment ref="C7" authorId="0" shapeId="0">
      <text>
        <t>Year 2 EBITDA = Gross Profit minus OpEx</t>
      </text>
    </comment>
    <comment ref="D7" authorId="0" shapeId="0">
      <text>
        <t>Year 3 EBITDA = Gross Profit minus OpEx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Revenue Year 1</t>
        </is>
      </c>
      <c r="B2" s="2" t="n">
        <v>10000000</v>
      </c>
    </row>
    <row r="3">
      <c r="A3" t="inlineStr">
        <is>
          <t>Revenue Growth Rate</t>
        </is>
      </c>
      <c r="B3" s="3" t="n">
        <v>0.1</v>
      </c>
    </row>
    <row r="4">
      <c r="A4" t="inlineStr">
        <is>
          <t>COGS % Year 1</t>
        </is>
      </c>
      <c r="B4" s="3" t="n">
        <v>0.6</v>
      </c>
    </row>
    <row r="5">
      <c r="A5" t="inlineStr">
        <is>
          <t>COGS Efficiency Gain/yr</t>
        </is>
      </c>
      <c r="B5" s="3" t="n">
        <v>0.01</v>
      </c>
    </row>
    <row r="6">
      <c r="A6" t="inlineStr">
        <is>
          <t>OpEx Year 1</t>
        </is>
      </c>
      <c r="B6" s="2" t="n">
        <v>2000000</v>
      </c>
    </row>
    <row r="7">
      <c r="A7" t="inlineStr">
        <is>
          <t>OpEx Growth Rate</t>
        </is>
      </c>
      <c r="B7" s="3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Revenue</t>
        </is>
      </c>
      <c r="B2" s="2">
        <f>Inp_Rev_Y1</f>
        <v/>
      </c>
      <c r="C2" s="2">
        <f>Revenue_Y1*(1+Inp_Rev_Growth)</f>
        <v/>
      </c>
      <c r="D2" s="2">
        <f>Revenue_Y2*(1+Inp_Rev_Growth)</f>
        <v/>
      </c>
    </row>
    <row r="3">
      <c r="A3" t="inlineStr">
        <is>
          <t>COGS %</t>
        </is>
      </c>
      <c r="B3" s="2">
        <f>Inp_COGS_Pct_Y1</f>
        <v/>
      </c>
      <c r="C3" s="2">
        <f>COGS_Pct_Y1-Inp_COGS_Efficiency</f>
        <v/>
      </c>
      <c r="D3" s="2">
        <f>COGS_Pct_Y2-Inp_COGS_Efficiency</f>
        <v/>
      </c>
    </row>
    <row r="4">
      <c r="A4" t="inlineStr">
        <is>
          <t>COGS</t>
        </is>
      </c>
      <c r="B4" s="2">
        <f>Revenue_Y1*COGS_Pct_Y1</f>
        <v/>
      </c>
      <c r="C4" s="2">
        <f>Revenue_Y2*COGS_Pct_Y2</f>
        <v/>
      </c>
      <c r="D4" s="2">
        <f>Revenue_Y3*COGS_Pct_Y3</f>
        <v/>
      </c>
    </row>
    <row r="5">
      <c r="A5" t="inlineStr">
        <is>
          <t>Gross Profit</t>
        </is>
      </c>
      <c r="B5" s="2">
        <f>Revenue_Y1-COGS_Y1</f>
        <v/>
      </c>
      <c r="C5" s="2">
        <f>Revenue_Y2-COGS_Y2</f>
        <v/>
      </c>
      <c r="D5" s="2">
        <f>Revenue_Y3-COGS_Y3</f>
        <v/>
      </c>
    </row>
    <row r="6">
      <c r="A6" t="inlineStr">
        <is>
          <t>Operating Expenses</t>
        </is>
      </c>
      <c r="B6" s="2">
        <f>Inp_OpEx_Y1</f>
        <v/>
      </c>
      <c r="C6" s="2">
        <f>OpEx_Y1*(1+Inp_OpEx_Growth)</f>
        <v/>
      </c>
      <c r="D6" s="2">
        <f>OpEx_Y2*(1+Inp_OpEx_Growth)</f>
        <v/>
      </c>
    </row>
    <row r="7">
      <c r="A7" t="inlineStr">
        <is>
          <t>EBITDA</t>
        </is>
      </c>
      <c r="B7" s="2">
        <f>Gross_Profit_Y1-OpEx_Y1</f>
        <v/>
      </c>
      <c r="C7" s="2">
        <f>Gross_Profit_Y2-OpEx_Y2</f>
        <v/>
      </c>
      <c r="D7" s="2">
        <f>Gross_Profit_Y3-OpEx_Y3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4" t="inlineStr">
        <is>
          <t>Revenue</t>
        </is>
      </c>
      <c r="B2" s="2">
        <f>Revenue_Y1</f>
        <v/>
      </c>
      <c r="C2" s="2">
        <f>Revenue_Y2</f>
        <v/>
      </c>
      <c r="D2" s="2">
        <f>Revenue_Y3</f>
        <v/>
      </c>
    </row>
    <row r="3">
      <c r="A3" s="4" t="inlineStr">
        <is>
          <t>COGS</t>
        </is>
      </c>
      <c r="B3" s="2">
        <f>COGS_Y1</f>
        <v/>
      </c>
      <c r="C3" s="2">
        <f>COGS_Y2</f>
        <v/>
      </c>
      <c r="D3" s="2">
        <f>COGS_Y3</f>
        <v/>
      </c>
    </row>
    <row r="4">
      <c r="A4" s="4" t="inlineStr">
        <is>
          <t>Gross Profit</t>
        </is>
      </c>
      <c r="B4" s="2">
        <f>Gross_Profit_Y1</f>
        <v/>
      </c>
      <c r="C4" s="2">
        <f>Gross_Profit_Y2</f>
        <v/>
      </c>
      <c r="D4" s="2">
        <f>Gross_Profit_Y3</f>
        <v/>
      </c>
    </row>
    <row r="5">
      <c r="A5" s="4" t="inlineStr">
        <is>
          <t>OpEx</t>
        </is>
      </c>
      <c r="B5" s="2">
        <f>OpEx_Y1</f>
        <v/>
      </c>
      <c r="C5" s="2">
        <f>OpEx_Y2</f>
        <v/>
      </c>
      <c r="D5" s="2">
        <f>OpEx_Y3</f>
        <v/>
      </c>
    </row>
    <row r="6">
      <c r="A6" s="4" t="inlineStr">
        <is>
          <t>EBITDA</t>
        </is>
      </c>
      <c r="B6" s="2">
        <f>EBITDA_Y1</f>
        <v/>
      </c>
      <c r="C6" s="2">
        <f>EBITDA_Y2</f>
        <v/>
      </c>
      <c r="D6" s="2">
        <f>EBITDA_Y3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2026-03-11T10:53:13Z</dcterms:modified>
</cp:coreProperties>
</file>